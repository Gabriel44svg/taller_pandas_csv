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esktop\taller_pandas_csv\clase6_estadistica_notebook_unico\"/>
    </mc:Choice>
  </mc:AlternateContent>
  <xr:revisionPtr revIDLastSave="0" documentId="13_ncr:1_{19EF5D68-412C-47E7-AE7B-0DC353197529}" xr6:coauthVersionLast="47" xr6:coauthVersionMax="47" xr10:uidLastSave="{00000000-0000-0000-0000-000000000000}"/>
  <bookViews>
    <workbookView xWindow="-108" yWindow="-108" windowWidth="23256" windowHeight="12456" xr2:uid="{DF6CADD8-9B0A-46B9-8330-2EF4004C9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9" i="1" l="1"/>
  <c r="D151" i="1"/>
  <c r="C151" i="1"/>
  <c r="B147" i="1"/>
  <c r="D145" i="1"/>
  <c r="H135" i="1"/>
  <c r="G135" i="1"/>
  <c r="G133" i="1"/>
  <c r="H133" i="1"/>
  <c r="D134" i="1"/>
  <c r="D137" i="1"/>
  <c r="B136" i="1"/>
  <c r="B126" i="1"/>
  <c r="C124" i="1"/>
  <c r="B122" i="1"/>
  <c r="B121" i="1"/>
  <c r="B107" i="1"/>
  <c r="B106" i="1"/>
  <c r="E10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84" i="1"/>
  <c r="D10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84" i="1"/>
  <c r="C81" i="1"/>
  <c r="C77" i="1"/>
  <c r="B68" i="1"/>
  <c r="B71" i="1" s="1"/>
  <c r="B66" i="1"/>
  <c r="B65" i="1"/>
  <c r="O35" i="1"/>
  <c r="O36" i="1"/>
  <c r="O37" i="1"/>
  <c r="O38" i="1"/>
  <c r="O39" i="1"/>
  <c r="O40" i="1"/>
  <c r="O34" i="1"/>
  <c r="I42" i="1"/>
  <c r="H38" i="1"/>
  <c r="H40" i="1"/>
  <c r="H41" i="1"/>
  <c r="H34" i="1"/>
  <c r="D37" i="1"/>
  <c r="D39" i="1"/>
  <c r="D40" i="1"/>
  <c r="D43" i="1"/>
  <c r="C39" i="1"/>
  <c r="C41" i="1"/>
  <c r="C42" i="1"/>
  <c r="M3" i="1"/>
  <c r="K3" i="1"/>
  <c r="I24" i="1"/>
  <c r="I38" i="1" s="1"/>
  <c r="H19" i="1"/>
  <c r="D41" i="1" s="1"/>
  <c r="E7" i="1"/>
  <c r="E8" i="1" s="1"/>
  <c r="E9" i="1" s="1"/>
  <c r="E10" i="1" s="1"/>
  <c r="E11" i="1" s="1"/>
  <c r="E12" i="1" s="1"/>
  <c r="E13" i="1" s="1"/>
  <c r="E14" i="1" s="1"/>
  <c r="E15" i="1" s="1"/>
  <c r="A7" i="1"/>
  <c r="A8" i="1" s="1"/>
  <c r="A9" i="1" s="1"/>
  <c r="A10" i="1" s="1"/>
  <c r="A11" i="1" s="1"/>
  <c r="A12" i="1" s="1"/>
  <c r="A13" i="1" s="1"/>
  <c r="A14" i="1" s="1"/>
  <c r="A15" i="1" s="1"/>
  <c r="C40" i="1" l="1"/>
  <c r="D38" i="1"/>
  <c r="H39" i="1"/>
  <c r="I37" i="1"/>
  <c r="I36" i="1"/>
  <c r="C38" i="1"/>
  <c r="D36" i="1"/>
  <c r="H37" i="1"/>
  <c r="I35" i="1"/>
  <c r="C37" i="1"/>
  <c r="D35" i="1"/>
  <c r="H36" i="1"/>
  <c r="H44" i="1" s="1"/>
  <c r="C36" i="1"/>
  <c r="H35" i="1"/>
  <c r="C35" i="1"/>
  <c r="I34" i="1"/>
  <c r="D34" i="1"/>
  <c r="I43" i="1"/>
  <c r="C34" i="1"/>
  <c r="C44" i="1" s="1"/>
  <c r="D42" i="1"/>
  <c r="H43" i="1"/>
  <c r="I41" i="1"/>
  <c r="B70" i="1"/>
  <c r="C43" i="1"/>
  <c r="H42" i="1"/>
  <c r="I40" i="1"/>
  <c r="I39" i="1"/>
  <c r="D44" i="1" l="1"/>
  <c r="B46" i="1" s="1"/>
  <c r="B47" i="1" s="1"/>
  <c r="B49" i="1" s="1"/>
  <c r="I44" i="1"/>
  <c r="H46" i="1" s="1"/>
  <c r="H47" i="1" s="1"/>
  <c r="H49" i="1" s="1"/>
</calcChain>
</file>

<file path=xl/sharedStrings.xml><?xml version="1.0" encoding="utf-8"?>
<sst xmlns="http://schemas.openxmlformats.org/spreadsheetml/2006/main" count="95" uniqueCount="75">
  <si>
    <t>Grupo A</t>
  </si>
  <si>
    <t>Grupo B</t>
  </si>
  <si>
    <t>Clientes</t>
  </si>
  <si>
    <t>Marketing</t>
  </si>
  <si>
    <t>tratamiento</t>
  </si>
  <si>
    <t>Control</t>
  </si>
  <si>
    <t>Cliente</t>
  </si>
  <si>
    <t>Visitas</t>
  </si>
  <si>
    <t>Gastos</t>
  </si>
  <si>
    <t>N</t>
  </si>
  <si>
    <t>n</t>
  </si>
  <si>
    <t>72+75+….....+91</t>
  </si>
  <si>
    <t>78+80+…...+100</t>
  </si>
  <si>
    <t>Media</t>
  </si>
  <si>
    <t>Mediana</t>
  </si>
  <si>
    <t>Moda no existe es Amodal</t>
  </si>
  <si>
    <t>RangoB</t>
  </si>
  <si>
    <t>Rango</t>
  </si>
  <si>
    <t>Rango A</t>
  </si>
  <si>
    <t>X_i</t>
  </si>
  <si>
    <t>X_i-82.5</t>
  </si>
  <si>
    <t>(X_i-82.5)^2</t>
  </si>
  <si>
    <t>Sum</t>
  </si>
  <si>
    <t>S_a^2</t>
  </si>
  <si>
    <t>S_a</t>
  </si>
  <si>
    <t>X_i-88</t>
  </si>
  <si>
    <t>(X_i-88)^2</t>
  </si>
  <si>
    <t>Cv</t>
  </si>
  <si>
    <t>Cv_B</t>
  </si>
  <si>
    <t>Cv_A</t>
  </si>
  <si>
    <t>Comparacion de grupo</t>
  </si>
  <si>
    <t>Muestras</t>
  </si>
  <si>
    <t>Varianza</t>
  </si>
  <si>
    <t>Des Estan</t>
  </si>
  <si>
    <t>Diferencia</t>
  </si>
  <si>
    <t>Mitad Inf</t>
  </si>
  <si>
    <t>Mitad superior</t>
  </si>
  <si>
    <t>Q1</t>
  </si>
  <si>
    <t>Q3</t>
  </si>
  <si>
    <t>IQR</t>
  </si>
  <si>
    <t>Li</t>
  </si>
  <si>
    <t>Ls</t>
  </si>
  <si>
    <t xml:space="preserve">y </t>
  </si>
  <si>
    <t>y</t>
  </si>
  <si>
    <t>X_i-85.25</t>
  </si>
  <si>
    <t>(X_i-85.25)^2</t>
  </si>
  <si>
    <t>Suma</t>
  </si>
  <si>
    <t>s^2</t>
  </si>
  <si>
    <t>s</t>
  </si>
  <si>
    <t>z</t>
  </si>
  <si>
    <t>SE</t>
  </si>
  <si>
    <t>Intervalos de confianza</t>
  </si>
  <si>
    <t>M</t>
  </si>
  <si>
    <t xml:space="preserve">Sigma </t>
  </si>
  <si>
    <t>des</t>
  </si>
  <si>
    <t xml:space="preserve">gl </t>
  </si>
  <si>
    <t>t</t>
  </si>
  <si>
    <t>SE_a</t>
  </si>
  <si>
    <t>SE_b</t>
  </si>
  <si>
    <t>Limsup</t>
  </si>
  <si>
    <t>Liminf</t>
  </si>
  <si>
    <t>IC95%a</t>
  </si>
  <si>
    <t>IC95%b</t>
  </si>
  <si>
    <t>Pruebas de hipotesis</t>
  </si>
  <si>
    <t>Ho</t>
  </si>
  <si>
    <t>Ha</t>
  </si>
  <si>
    <t>Ma-Mb=0</t>
  </si>
  <si>
    <t>Ma-Mbcdiferente de 0</t>
  </si>
  <si>
    <t>Error estandar de dif</t>
  </si>
  <si>
    <t>T</t>
  </si>
  <si>
    <t>Grados de libertad</t>
  </si>
  <si>
    <t>p value</t>
  </si>
  <si>
    <t>t-student</t>
  </si>
  <si>
    <t>Alpha</t>
  </si>
  <si>
    <t>0.008 mayor a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</si>
</sst>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390C-04E0-4701-9E3C-1F30F6D05E97}">
  <dimension ref="A1:Q156"/>
  <sheetViews>
    <sheetView tabSelected="1" topLeftCell="A132" workbookViewId="0">
      <selection activeCell="B154" sqref="B154"/>
    </sheetView>
  </sheetViews>
  <sheetFormatPr defaultRowHeight="14.4" x14ac:dyDescent="0.3"/>
  <sheetData>
    <row r="1" spans="1:13" x14ac:dyDescent="0.3">
      <c r="B1" t="s">
        <v>2</v>
      </c>
      <c r="E1" t="s">
        <v>3</v>
      </c>
    </row>
    <row r="2" spans="1:13" x14ac:dyDescent="0.3">
      <c r="B2" t="s">
        <v>5</v>
      </c>
      <c r="E2" t="s">
        <v>4</v>
      </c>
      <c r="H2" t="s">
        <v>9</v>
      </c>
      <c r="I2" s="1">
        <v>100000</v>
      </c>
      <c r="K2" t="s">
        <v>18</v>
      </c>
      <c r="M2" t="s">
        <v>16</v>
      </c>
    </row>
    <row r="3" spans="1:13" x14ac:dyDescent="0.3">
      <c r="B3" t="s">
        <v>0</v>
      </c>
      <c r="E3" t="s">
        <v>1</v>
      </c>
      <c r="H3" t="s">
        <v>10</v>
      </c>
      <c r="I3">
        <v>20</v>
      </c>
      <c r="K3">
        <f>MAX(C6:C15)-MIN(C6:C15)</f>
        <v>19</v>
      </c>
      <c r="M3">
        <f>MAX(G6:G15)-MIN(G6:G15)</f>
        <v>22</v>
      </c>
    </row>
    <row r="5" spans="1:13" x14ac:dyDescent="0.3">
      <c r="A5" t="s">
        <v>6</v>
      </c>
      <c r="B5" t="s">
        <v>7</v>
      </c>
      <c r="C5" t="s">
        <v>8</v>
      </c>
      <c r="E5" t="s">
        <v>6</v>
      </c>
      <c r="F5" t="s">
        <v>7</v>
      </c>
      <c r="G5" t="s">
        <v>8</v>
      </c>
    </row>
    <row r="6" spans="1:13" x14ac:dyDescent="0.3">
      <c r="A6">
        <v>1</v>
      </c>
      <c r="B6">
        <v>2</v>
      </c>
      <c r="C6">
        <v>72</v>
      </c>
      <c r="E6">
        <v>1</v>
      </c>
      <c r="F6">
        <v>3</v>
      </c>
      <c r="G6">
        <v>78</v>
      </c>
    </row>
    <row r="7" spans="1:13" x14ac:dyDescent="0.3">
      <c r="A7">
        <f>A6+1</f>
        <v>2</v>
      </c>
      <c r="B7">
        <v>3</v>
      </c>
      <c r="C7">
        <v>75</v>
      </c>
      <c r="E7">
        <f>E6+1</f>
        <v>2</v>
      </c>
      <c r="F7">
        <v>4</v>
      </c>
      <c r="G7">
        <v>80</v>
      </c>
    </row>
    <row r="8" spans="1:13" x14ac:dyDescent="0.3">
      <c r="A8">
        <f t="shared" ref="A8:A14" si="0">A7+1</f>
        <v>3</v>
      </c>
      <c r="B8">
        <v>4</v>
      </c>
      <c r="C8">
        <v>78</v>
      </c>
      <c r="E8">
        <f t="shared" ref="E8:E15" si="1">E7+1</f>
        <v>3</v>
      </c>
      <c r="F8">
        <v>4</v>
      </c>
      <c r="G8">
        <v>82</v>
      </c>
    </row>
    <row r="9" spans="1:13" x14ac:dyDescent="0.3">
      <c r="A9">
        <f t="shared" si="0"/>
        <v>4</v>
      </c>
      <c r="B9">
        <v>4</v>
      </c>
      <c r="C9">
        <v>80</v>
      </c>
      <c r="E9">
        <f t="shared" si="1"/>
        <v>4</v>
      </c>
      <c r="F9">
        <v>5</v>
      </c>
      <c r="G9">
        <v>85</v>
      </c>
    </row>
    <row r="10" spans="1:13" x14ac:dyDescent="0.3">
      <c r="A10">
        <f t="shared" si="0"/>
        <v>5</v>
      </c>
      <c r="B10">
        <v>5</v>
      </c>
      <c r="C10">
        <v>82</v>
      </c>
      <c r="E10">
        <f t="shared" si="1"/>
        <v>5</v>
      </c>
      <c r="F10">
        <v>5</v>
      </c>
      <c r="G10">
        <v>87</v>
      </c>
    </row>
    <row r="11" spans="1:13" x14ac:dyDescent="0.3">
      <c r="A11">
        <f t="shared" si="0"/>
        <v>6</v>
      </c>
      <c r="B11">
        <v>5</v>
      </c>
      <c r="C11">
        <v>84</v>
      </c>
      <c r="E11">
        <f t="shared" si="1"/>
        <v>6</v>
      </c>
      <c r="F11">
        <v>6</v>
      </c>
      <c r="G11">
        <v>89</v>
      </c>
    </row>
    <row r="12" spans="1:13" x14ac:dyDescent="0.3">
      <c r="A12">
        <f t="shared" si="0"/>
        <v>7</v>
      </c>
      <c r="B12">
        <v>6</v>
      </c>
      <c r="C12">
        <v>85</v>
      </c>
      <c r="E12">
        <f t="shared" si="1"/>
        <v>7</v>
      </c>
      <c r="F12">
        <v>6</v>
      </c>
      <c r="G12">
        <v>91</v>
      </c>
    </row>
    <row r="13" spans="1:13" x14ac:dyDescent="0.3">
      <c r="A13">
        <f t="shared" si="0"/>
        <v>8</v>
      </c>
      <c r="B13">
        <v>6</v>
      </c>
      <c r="C13">
        <v>88</v>
      </c>
      <c r="E13">
        <f t="shared" si="1"/>
        <v>8</v>
      </c>
      <c r="F13">
        <v>7</v>
      </c>
      <c r="G13">
        <v>93</v>
      </c>
    </row>
    <row r="14" spans="1:13" x14ac:dyDescent="0.3">
      <c r="A14">
        <f t="shared" si="0"/>
        <v>9</v>
      </c>
      <c r="B14">
        <v>7</v>
      </c>
      <c r="C14">
        <v>90</v>
      </c>
      <c r="E14">
        <f t="shared" si="1"/>
        <v>9</v>
      </c>
      <c r="F14">
        <v>8</v>
      </c>
      <c r="G14">
        <v>95</v>
      </c>
    </row>
    <row r="15" spans="1:13" x14ac:dyDescent="0.3">
      <c r="A15">
        <f>A14+1</f>
        <v>10</v>
      </c>
      <c r="B15">
        <v>8</v>
      </c>
      <c r="C15">
        <v>91</v>
      </c>
      <c r="E15">
        <f t="shared" si="1"/>
        <v>10</v>
      </c>
      <c r="F15">
        <v>9</v>
      </c>
      <c r="G15">
        <v>100</v>
      </c>
    </row>
    <row r="16" spans="1:13" x14ac:dyDescent="0.3">
      <c r="K16" t="s">
        <v>14</v>
      </c>
    </row>
    <row r="17" spans="5:17" x14ac:dyDescent="0.3">
      <c r="E17" t="s">
        <v>13</v>
      </c>
      <c r="Q17" t="s">
        <v>15</v>
      </c>
    </row>
    <row r="19" spans="5:17" x14ac:dyDescent="0.3">
      <c r="F19" t="s">
        <v>11</v>
      </c>
      <c r="H19">
        <f>SUMPRODUCT(C6:C15)/10</f>
        <v>82.5</v>
      </c>
    </row>
    <row r="20" spans="5:17" x14ac:dyDescent="0.3">
      <c r="F20">
        <v>10</v>
      </c>
    </row>
    <row r="23" spans="5:17" x14ac:dyDescent="0.3">
      <c r="E23" t="s">
        <v>13</v>
      </c>
    </row>
    <row r="24" spans="5:17" x14ac:dyDescent="0.3">
      <c r="F24" t="s">
        <v>12</v>
      </c>
      <c r="I24">
        <f>SUMPRODUCT(G6:G15)/10</f>
        <v>88</v>
      </c>
      <c r="K24" t="s">
        <v>14</v>
      </c>
      <c r="Q24" t="s">
        <v>15</v>
      </c>
    </row>
    <row r="25" spans="5:17" x14ac:dyDescent="0.3">
      <c r="F25">
        <v>10</v>
      </c>
    </row>
    <row r="33" spans="1:15" x14ac:dyDescent="0.3">
      <c r="B33" t="s">
        <v>19</v>
      </c>
      <c r="C33" t="s">
        <v>20</v>
      </c>
      <c r="D33" t="s">
        <v>21</v>
      </c>
      <c r="G33" t="s">
        <v>19</v>
      </c>
      <c r="H33" t="s">
        <v>25</v>
      </c>
      <c r="I33" t="s">
        <v>26</v>
      </c>
      <c r="L33" t="s">
        <v>30</v>
      </c>
      <c r="O33" t="s">
        <v>34</v>
      </c>
    </row>
    <row r="34" spans="1:15" x14ac:dyDescent="0.3">
      <c r="B34">
        <v>72</v>
      </c>
      <c r="C34">
        <f>B34-$H$19</f>
        <v>-10.5</v>
      </c>
      <c r="D34">
        <f>(B34-$H$19)^2</f>
        <v>110.25</v>
      </c>
      <c r="G34">
        <v>78</v>
      </c>
      <c r="H34">
        <f>G34-$I$24</f>
        <v>-10</v>
      </c>
      <c r="I34">
        <f>(G34-$I$24)^2</f>
        <v>100</v>
      </c>
      <c r="K34" t="s">
        <v>31</v>
      </c>
      <c r="L34">
        <v>10</v>
      </c>
      <c r="M34">
        <v>10</v>
      </c>
      <c r="O34">
        <f>M34-L34</f>
        <v>0</v>
      </c>
    </row>
    <row r="35" spans="1:15" x14ac:dyDescent="0.3">
      <c r="B35">
        <v>75</v>
      </c>
      <c r="C35">
        <f t="shared" ref="C35:C43" si="2">B35-$H$19</f>
        <v>-7.5</v>
      </c>
      <c r="D35">
        <f t="shared" ref="D35:D43" si="3">(B35-$H$19)^2</f>
        <v>56.25</v>
      </c>
      <c r="G35">
        <v>80</v>
      </c>
      <c r="H35">
        <f t="shared" ref="H35:H43" si="4">G35-$I$24</f>
        <v>-8</v>
      </c>
      <c r="I35">
        <f t="shared" ref="I35:I43" si="5">(G35-$I$24)^2</f>
        <v>64</v>
      </c>
      <c r="K35" t="s">
        <v>13</v>
      </c>
      <c r="L35">
        <v>82.5</v>
      </c>
      <c r="M35">
        <v>88</v>
      </c>
      <c r="O35">
        <f t="shared" ref="O35:O40" si="6">M35-L35</f>
        <v>5.5</v>
      </c>
    </row>
    <row r="36" spans="1:15" x14ac:dyDescent="0.3">
      <c r="B36">
        <v>78</v>
      </c>
      <c r="C36">
        <f t="shared" si="2"/>
        <v>-4.5</v>
      </c>
      <c r="D36">
        <f t="shared" si="3"/>
        <v>20.25</v>
      </c>
      <c r="G36">
        <v>82</v>
      </c>
      <c r="H36">
        <f t="shared" si="4"/>
        <v>-6</v>
      </c>
      <c r="I36">
        <f t="shared" si="5"/>
        <v>36</v>
      </c>
      <c r="K36" t="s">
        <v>14</v>
      </c>
      <c r="L36">
        <v>83</v>
      </c>
      <c r="M36">
        <v>88</v>
      </c>
      <c r="O36">
        <f t="shared" si="6"/>
        <v>5</v>
      </c>
    </row>
    <row r="37" spans="1:15" x14ac:dyDescent="0.3">
      <c r="B37">
        <v>80</v>
      </c>
      <c r="C37">
        <f t="shared" si="2"/>
        <v>-2.5</v>
      </c>
      <c r="D37">
        <f t="shared" si="3"/>
        <v>6.25</v>
      </c>
      <c r="G37">
        <v>85</v>
      </c>
      <c r="H37">
        <f t="shared" si="4"/>
        <v>-3</v>
      </c>
      <c r="I37">
        <f t="shared" si="5"/>
        <v>9</v>
      </c>
      <c r="K37" t="s">
        <v>17</v>
      </c>
      <c r="L37">
        <v>19</v>
      </c>
      <c r="M37">
        <v>22</v>
      </c>
      <c r="O37">
        <f t="shared" si="6"/>
        <v>3</v>
      </c>
    </row>
    <row r="38" spans="1:15" x14ac:dyDescent="0.3">
      <c r="B38">
        <v>82</v>
      </c>
      <c r="C38">
        <f t="shared" si="2"/>
        <v>-0.5</v>
      </c>
      <c r="D38">
        <f t="shared" si="3"/>
        <v>0.25</v>
      </c>
      <c r="G38">
        <v>87</v>
      </c>
      <c r="H38">
        <f t="shared" si="4"/>
        <v>-1</v>
      </c>
      <c r="I38">
        <f t="shared" si="5"/>
        <v>1</v>
      </c>
      <c r="K38" t="s">
        <v>32</v>
      </c>
      <c r="L38">
        <v>40.06</v>
      </c>
      <c r="M38">
        <v>48.67</v>
      </c>
      <c r="O38">
        <f t="shared" si="6"/>
        <v>8.61</v>
      </c>
    </row>
    <row r="39" spans="1:15" x14ac:dyDescent="0.3">
      <c r="B39">
        <v>84</v>
      </c>
      <c r="C39">
        <f t="shared" si="2"/>
        <v>1.5</v>
      </c>
      <c r="D39">
        <f t="shared" si="3"/>
        <v>2.25</v>
      </c>
      <c r="G39">
        <v>89</v>
      </c>
      <c r="H39">
        <f t="shared" si="4"/>
        <v>1</v>
      </c>
      <c r="I39">
        <f t="shared" si="5"/>
        <v>1</v>
      </c>
      <c r="K39" t="s">
        <v>33</v>
      </c>
      <c r="L39">
        <v>6.33</v>
      </c>
      <c r="M39">
        <v>6.98</v>
      </c>
      <c r="O39">
        <f t="shared" si="6"/>
        <v>0.65000000000000036</v>
      </c>
    </row>
    <row r="40" spans="1:15" x14ac:dyDescent="0.3">
      <c r="B40">
        <v>85</v>
      </c>
      <c r="C40">
        <f t="shared" si="2"/>
        <v>2.5</v>
      </c>
      <c r="D40">
        <f t="shared" si="3"/>
        <v>6.25</v>
      </c>
      <c r="G40">
        <v>91</v>
      </c>
      <c r="H40">
        <f t="shared" si="4"/>
        <v>3</v>
      </c>
      <c r="I40">
        <f t="shared" si="5"/>
        <v>9</v>
      </c>
      <c r="K40" t="s">
        <v>27</v>
      </c>
      <c r="L40">
        <v>7.67</v>
      </c>
      <c r="M40">
        <v>7.93</v>
      </c>
      <c r="O40">
        <f t="shared" si="6"/>
        <v>0.25999999999999979</v>
      </c>
    </row>
    <row r="41" spans="1:15" x14ac:dyDescent="0.3">
      <c r="B41">
        <v>88</v>
      </c>
      <c r="C41">
        <f t="shared" si="2"/>
        <v>5.5</v>
      </c>
      <c r="D41">
        <f t="shared" si="3"/>
        <v>30.25</v>
      </c>
      <c r="G41">
        <v>93</v>
      </c>
      <c r="H41">
        <f t="shared" si="4"/>
        <v>5</v>
      </c>
      <c r="I41">
        <f t="shared" si="5"/>
        <v>25</v>
      </c>
    </row>
    <row r="42" spans="1:15" x14ac:dyDescent="0.3">
      <c r="B42">
        <v>90</v>
      </c>
      <c r="C42">
        <f t="shared" si="2"/>
        <v>7.5</v>
      </c>
      <c r="D42">
        <f t="shared" si="3"/>
        <v>56.25</v>
      </c>
      <c r="G42">
        <v>95</v>
      </c>
      <c r="H42">
        <f t="shared" si="4"/>
        <v>7</v>
      </c>
      <c r="I42">
        <f t="shared" si="5"/>
        <v>49</v>
      </c>
    </row>
    <row r="43" spans="1:15" x14ac:dyDescent="0.3">
      <c r="B43">
        <v>91</v>
      </c>
      <c r="C43">
        <f t="shared" si="2"/>
        <v>8.5</v>
      </c>
      <c r="D43">
        <f t="shared" si="3"/>
        <v>72.25</v>
      </c>
      <c r="G43">
        <v>100</v>
      </c>
      <c r="H43">
        <f t="shared" si="4"/>
        <v>12</v>
      </c>
      <c r="I43">
        <f t="shared" si="5"/>
        <v>144</v>
      </c>
    </row>
    <row r="44" spans="1:15" x14ac:dyDescent="0.3">
      <c r="B44" t="s">
        <v>22</v>
      </c>
      <c r="C44">
        <f t="shared" ref="C44:D44" si="7">SUMPRODUCT(C34:C43)</f>
        <v>0</v>
      </c>
      <c r="D44">
        <f t="shared" si="7"/>
        <v>360.5</v>
      </c>
      <c r="G44" t="s">
        <v>22</v>
      </c>
      <c r="H44">
        <f>SUMPRODUCT(H34:H43)</f>
        <v>0</v>
      </c>
      <c r="I44">
        <f>SUMPRODUCT(I34:I43)</f>
        <v>438</v>
      </c>
    </row>
    <row r="46" spans="1:15" x14ac:dyDescent="0.3">
      <c r="A46" t="s">
        <v>23</v>
      </c>
      <c r="B46">
        <f>D44/(A15-1)</f>
        <v>40.055555555555557</v>
      </c>
      <c r="G46" t="s">
        <v>23</v>
      </c>
      <c r="H46">
        <f>I44/(E15-1)</f>
        <v>48.666666666666664</v>
      </c>
    </row>
    <row r="47" spans="1:15" x14ac:dyDescent="0.3">
      <c r="A47" t="s">
        <v>24</v>
      </c>
      <c r="B47">
        <f>SQRT(B46)</f>
        <v>6.3289458486825083</v>
      </c>
      <c r="G47" t="s">
        <v>24</v>
      </c>
      <c r="H47">
        <f>SQRT(H46)</f>
        <v>6.97614984548545</v>
      </c>
    </row>
    <row r="49" spans="1:8" x14ac:dyDescent="0.3">
      <c r="A49" t="s">
        <v>29</v>
      </c>
      <c r="B49">
        <f>(B47/H19)*100</f>
        <v>7.6714495135545553</v>
      </c>
      <c r="G49" t="s">
        <v>28</v>
      </c>
      <c r="H49">
        <f>(H47/I24)*100</f>
        <v>7.9274430062334655</v>
      </c>
    </row>
    <row r="50" spans="1:8" x14ac:dyDescent="0.3">
      <c r="B50" s="2">
        <v>7.6700000000000004E-2</v>
      </c>
      <c r="H50" s="2">
        <v>7.9200000000000007E-2</v>
      </c>
    </row>
    <row r="53" spans="1:8" x14ac:dyDescent="0.3">
      <c r="B53" t="s">
        <v>35</v>
      </c>
      <c r="D53" t="s">
        <v>36</v>
      </c>
    </row>
    <row r="54" spans="1:8" x14ac:dyDescent="0.3">
      <c r="B54">
        <v>72</v>
      </c>
      <c r="D54">
        <v>85</v>
      </c>
    </row>
    <row r="55" spans="1:8" x14ac:dyDescent="0.3">
      <c r="B55">
        <v>75</v>
      </c>
      <c r="D55">
        <v>87</v>
      </c>
    </row>
    <row r="56" spans="1:8" x14ac:dyDescent="0.3">
      <c r="B56">
        <v>78</v>
      </c>
      <c r="D56">
        <v>88</v>
      </c>
    </row>
    <row r="57" spans="1:8" x14ac:dyDescent="0.3">
      <c r="B57">
        <v>78</v>
      </c>
      <c r="D57">
        <v>89</v>
      </c>
    </row>
    <row r="58" spans="1:8" x14ac:dyDescent="0.3">
      <c r="B58">
        <v>80</v>
      </c>
      <c r="D58">
        <v>90</v>
      </c>
    </row>
    <row r="59" spans="1:8" x14ac:dyDescent="0.3">
      <c r="B59">
        <v>80</v>
      </c>
      <c r="D59">
        <v>91</v>
      </c>
    </row>
    <row r="60" spans="1:8" x14ac:dyDescent="0.3">
      <c r="B60">
        <v>82</v>
      </c>
      <c r="D60">
        <v>91</v>
      </c>
    </row>
    <row r="61" spans="1:8" x14ac:dyDescent="0.3">
      <c r="B61">
        <v>82</v>
      </c>
      <c r="D61">
        <v>93</v>
      </c>
    </row>
    <row r="62" spans="1:8" x14ac:dyDescent="0.3">
      <c r="B62">
        <v>84</v>
      </c>
      <c r="D62">
        <v>95</v>
      </c>
    </row>
    <row r="63" spans="1:8" x14ac:dyDescent="0.3">
      <c r="B63">
        <v>85</v>
      </c>
      <c r="D63">
        <v>100</v>
      </c>
    </row>
    <row r="65" spans="1:6" x14ac:dyDescent="0.3">
      <c r="A65" t="s">
        <v>37</v>
      </c>
      <c r="B65">
        <f>(B58+B59)/2</f>
        <v>80</v>
      </c>
    </row>
    <row r="66" spans="1:6" x14ac:dyDescent="0.3">
      <c r="A66" t="s">
        <v>38</v>
      </c>
      <c r="B66">
        <f>(D58+D59)/2</f>
        <v>90.5</v>
      </c>
    </row>
    <row r="68" spans="1:6" x14ac:dyDescent="0.3">
      <c r="A68" t="s">
        <v>39</v>
      </c>
      <c r="B68">
        <f>B66-B65</f>
        <v>10.5</v>
      </c>
    </row>
    <row r="70" spans="1:6" x14ac:dyDescent="0.3">
      <c r="A70" t="s">
        <v>40</v>
      </c>
      <c r="B70">
        <f>B65-(1.5*$B$68)</f>
        <v>64.25</v>
      </c>
      <c r="D70">
        <v>64</v>
      </c>
      <c r="E70" t="s">
        <v>42</v>
      </c>
      <c r="F70">
        <v>104</v>
      </c>
    </row>
    <row r="71" spans="1:6" x14ac:dyDescent="0.3">
      <c r="A71" t="s">
        <v>41</v>
      </c>
      <c r="B71">
        <f>B66+(1.5*$B$68)</f>
        <v>106.25</v>
      </c>
    </row>
    <row r="72" spans="1:6" x14ac:dyDescent="0.3">
      <c r="D72">
        <v>72</v>
      </c>
      <c r="E72" t="s">
        <v>43</v>
      </c>
      <c r="F72">
        <v>100</v>
      </c>
    </row>
    <row r="75" spans="1:6" x14ac:dyDescent="0.3">
      <c r="A75">
        <v>72</v>
      </c>
    </row>
    <row r="76" spans="1:6" x14ac:dyDescent="0.3">
      <c r="A76">
        <v>75</v>
      </c>
      <c r="C76" t="s">
        <v>13</v>
      </c>
    </row>
    <row r="77" spans="1:6" x14ac:dyDescent="0.3">
      <c r="A77">
        <v>78</v>
      </c>
      <c r="C77">
        <f>SUMPRODUCT(A75:A94)/20</f>
        <v>85.25</v>
      </c>
    </row>
    <row r="78" spans="1:6" x14ac:dyDescent="0.3">
      <c r="A78">
        <v>78</v>
      </c>
    </row>
    <row r="79" spans="1:6" x14ac:dyDescent="0.3">
      <c r="A79">
        <v>80</v>
      </c>
    </row>
    <row r="80" spans="1:6" x14ac:dyDescent="0.3">
      <c r="A80">
        <v>80</v>
      </c>
      <c r="C80" t="s">
        <v>14</v>
      </c>
    </row>
    <row r="81" spans="1:5" x14ac:dyDescent="0.3">
      <c r="A81">
        <v>82</v>
      </c>
      <c r="C81">
        <f>(A84+A85)/2</f>
        <v>85</v>
      </c>
    </row>
    <row r="82" spans="1:5" x14ac:dyDescent="0.3">
      <c r="A82">
        <v>82</v>
      </c>
    </row>
    <row r="83" spans="1:5" x14ac:dyDescent="0.3">
      <c r="A83">
        <v>84</v>
      </c>
      <c r="C83" t="s">
        <v>19</v>
      </c>
      <c r="D83" t="s">
        <v>44</v>
      </c>
      <c r="E83" t="s">
        <v>45</v>
      </c>
    </row>
    <row r="84" spans="1:5" x14ac:dyDescent="0.3">
      <c r="A84">
        <v>85</v>
      </c>
      <c r="C84">
        <v>72</v>
      </c>
      <c r="D84">
        <f>C84-$C$77</f>
        <v>-13.25</v>
      </c>
      <c r="E84">
        <f>(C84-$C$77)^2</f>
        <v>175.5625</v>
      </c>
    </row>
    <row r="85" spans="1:5" x14ac:dyDescent="0.3">
      <c r="A85">
        <v>85</v>
      </c>
      <c r="C85">
        <v>75</v>
      </c>
      <c r="D85">
        <f t="shared" ref="D85:D104" si="8">C85-$C$77</f>
        <v>-10.25</v>
      </c>
      <c r="E85">
        <f t="shared" ref="E85:E103" si="9">(C85-$C$77)^2</f>
        <v>105.0625</v>
      </c>
    </row>
    <row r="86" spans="1:5" x14ac:dyDescent="0.3">
      <c r="A86">
        <v>87</v>
      </c>
      <c r="C86">
        <v>78</v>
      </c>
      <c r="D86">
        <f t="shared" si="8"/>
        <v>-7.25</v>
      </c>
      <c r="E86">
        <f t="shared" si="9"/>
        <v>52.5625</v>
      </c>
    </row>
    <row r="87" spans="1:5" x14ac:dyDescent="0.3">
      <c r="A87">
        <v>88</v>
      </c>
      <c r="C87">
        <v>78</v>
      </c>
      <c r="D87">
        <f t="shared" si="8"/>
        <v>-7.25</v>
      </c>
      <c r="E87">
        <f t="shared" si="9"/>
        <v>52.5625</v>
      </c>
    </row>
    <row r="88" spans="1:5" x14ac:dyDescent="0.3">
      <c r="A88">
        <v>89</v>
      </c>
      <c r="C88">
        <v>80</v>
      </c>
      <c r="D88">
        <f t="shared" si="8"/>
        <v>-5.25</v>
      </c>
      <c r="E88">
        <f t="shared" si="9"/>
        <v>27.5625</v>
      </c>
    </row>
    <row r="89" spans="1:5" x14ac:dyDescent="0.3">
      <c r="A89">
        <v>90</v>
      </c>
      <c r="C89">
        <v>80</v>
      </c>
      <c r="D89">
        <f t="shared" si="8"/>
        <v>-5.25</v>
      </c>
      <c r="E89">
        <f t="shared" si="9"/>
        <v>27.5625</v>
      </c>
    </row>
    <row r="90" spans="1:5" x14ac:dyDescent="0.3">
      <c r="A90">
        <v>91</v>
      </c>
      <c r="C90">
        <v>82</v>
      </c>
      <c r="D90">
        <f t="shared" si="8"/>
        <v>-3.25</v>
      </c>
      <c r="E90">
        <f t="shared" si="9"/>
        <v>10.5625</v>
      </c>
    </row>
    <row r="91" spans="1:5" x14ac:dyDescent="0.3">
      <c r="A91">
        <v>91</v>
      </c>
      <c r="C91">
        <v>82</v>
      </c>
      <c r="D91">
        <f t="shared" si="8"/>
        <v>-3.25</v>
      </c>
      <c r="E91">
        <f t="shared" si="9"/>
        <v>10.5625</v>
      </c>
    </row>
    <row r="92" spans="1:5" x14ac:dyDescent="0.3">
      <c r="A92">
        <v>93</v>
      </c>
      <c r="C92">
        <v>84</v>
      </c>
      <c r="D92">
        <f t="shared" si="8"/>
        <v>-1.25</v>
      </c>
      <c r="E92">
        <f t="shared" si="9"/>
        <v>1.5625</v>
      </c>
    </row>
    <row r="93" spans="1:5" x14ac:dyDescent="0.3">
      <c r="A93">
        <v>95</v>
      </c>
      <c r="C93">
        <v>85</v>
      </c>
      <c r="D93">
        <f t="shared" si="8"/>
        <v>-0.25</v>
      </c>
      <c r="E93">
        <f t="shared" si="9"/>
        <v>6.25E-2</v>
      </c>
    </row>
    <row r="94" spans="1:5" x14ac:dyDescent="0.3">
      <c r="A94">
        <v>100</v>
      </c>
      <c r="C94">
        <v>85</v>
      </c>
      <c r="D94">
        <f t="shared" si="8"/>
        <v>-0.25</v>
      </c>
      <c r="E94">
        <f t="shared" si="9"/>
        <v>6.25E-2</v>
      </c>
    </row>
    <row r="95" spans="1:5" x14ac:dyDescent="0.3">
      <c r="C95">
        <v>87</v>
      </c>
      <c r="D95">
        <f t="shared" si="8"/>
        <v>1.75</v>
      </c>
      <c r="E95">
        <f t="shared" si="9"/>
        <v>3.0625</v>
      </c>
    </row>
    <row r="96" spans="1:5" x14ac:dyDescent="0.3">
      <c r="C96">
        <v>88</v>
      </c>
      <c r="D96">
        <f t="shared" si="8"/>
        <v>2.75</v>
      </c>
      <c r="E96">
        <f t="shared" si="9"/>
        <v>7.5625</v>
      </c>
    </row>
    <row r="97" spans="1:5" x14ac:dyDescent="0.3">
      <c r="C97">
        <v>89</v>
      </c>
      <c r="D97">
        <f t="shared" si="8"/>
        <v>3.75</v>
      </c>
      <c r="E97">
        <f t="shared" si="9"/>
        <v>14.0625</v>
      </c>
    </row>
    <row r="98" spans="1:5" x14ac:dyDescent="0.3">
      <c r="C98">
        <v>90</v>
      </c>
      <c r="D98">
        <f t="shared" si="8"/>
        <v>4.75</v>
      </c>
      <c r="E98">
        <f t="shared" si="9"/>
        <v>22.5625</v>
      </c>
    </row>
    <row r="99" spans="1:5" x14ac:dyDescent="0.3">
      <c r="C99">
        <v>91</v>
      </c>
      <c r="D99">
        <f t="shared" si="8"/>
        <v>5.75</v>
      </c>
      <c r="E99">
        <f t="shared" si="9"/>
        <v>33.0625</v>
      </c>
    </row>
    <row r="100" spans="1:5" x14ac:dyDescent="0.3">
      <c r="C100">
        <v>91</v>
      </c>
      <c r="D100">
        <f t="shared" si="8"/>
        <v>5.75</v>
      </c>
      <c r="E100">
        <f t="shared" si="9"/>
        <v>33.0625</v>
      </c>
    </row>
    <row r="101" spans="1:5" x14ac:dyDescent="0.3">
      <c r="C101">
        <v>93</v>
      </c>
      <c r="D101">
        <f t="shared" si="8"/>
        <v>7.75</v>
      </c>
      <c r="E101">
        <f t="shared" si="9"/>
        <v>60.0625</v>
      </c>
    </row>
    <row r="102" spans="1:5" x14ac:dyDescent="0.3">
      <c r="C102">
        <v>95</v>
      </c>
      <c r="D102">
        <f t="shared" si="8"/>
        <v>9.75</v>
      </c>
      <c r="E102">
        <f t="shared" si="9"/>
        <v>95.0625</v>
      </c>
    </row>
    <row r="103" spans="1:5" x14ac:dyDescent="0.3">
      <c r="C103">
        <v>100</v>
      </c>
      <c r="D103">
        <f t="shared" si="8"/>
        <v>14.75</v>
      </c>
      <c r="E103">
        <f t="shared" si="9"/>
        <v>217.5625</v>
      </c>
    </row>
    <row r="104" spans="1:5" x14ac:dyDescent="0.3">
      <c r="C104" t="s">
        <v>46</v>
      </c>
      <c r="D104">
        <f>SUMPRODUCT(D84:D103)</f>
        <v>0</v>
      </c>
      <c r="E104">
        <f>SUMPRODUCT(E84:E103)</f>
        <v>949.75</v>
      </c>
    </row>
    <row r="106" spans="1:5" x14ac:dyDescent="0.3">
      <c r="A106" t="s">
        <v>47</v>
      </c>
      <c r="B106">
        <f>E104/(20-1)</f>
        <v>49.986842105263158</v>
      </c>
    </row>
    <row r="107" spans="1:5" x14ac:dyDescent="0.3">
      <c r="A107" t="s">
        <v>48</v>
      </c>
      <c r="B107">
        <f>SQRT(B106)</f>
        <v>7.0701373469871971</v>
      </c>
    </row>
    <row r="109" spans="1:5" x14ac:dyDescent="0.3">
      <c r="B109" t="s">
        <v>35</v>
      </c>
      <c r="D109" t="s">
        <v>36</v>
      </c>
    </row>
    <row r="110" spans="1:5" x14ac:dyDescent="0.3">
      <c r="B110">
        <v>72</v>
      </c>
      <c r="D110">
        <v>85</v>
      </c>
    </row>
    <row r="111" spans="1:5" x14ac:dyDescent="0.3">
      <c r="B111">
        <v>75</v>
      </c>
      <c r="D111">
        <v>87</v>
      </c>
    </row>
    <row r="112" spans="1:5" x14ac:dyDescent="0.3">
      <c r="B112">
        <v>78</v>
      </c>
      <c r="D112">
        <v>88</v>
      </c>
    </row>
    <row r="113" spans="1:5" x14ac:dyDescent="0.3">
      <c r="B113">
        <v>78</v>
      </c>
      <c r="D113">
        <v>89</v>
      </c>
    </row>
    <row r="114" spans="1:5" x14ac:dyDescent="0.3">
      <c r="B114">
        <v>80</v>
      </c>
      <c r="D114">
        <v>90</v>
      </c>
    </row>
    <row r="115" spans="1:5" x14ac:dyDescent="0.3">
      <c r="B115">
        <v>80</v>
      </c>
      <c r="D115">
        <v>91</v>
      </c>
    </row>
    <row r="116" spans="1:5" x14ac:dyDescent="0.3">
      <c r="B116">
        <v>82</v>
      </c>
      <c r="D116">
        <v>91</v>
      </c>
    </row>
    <row r="117" spans="1:5" x14ac:dyDescent="0.3">
      <c r="B117">
        <v>82</v>
      </c>
      <c r="D117">
        <v>93</v>
      </c>
    </row>
    <row r="118" spans="1:5" x14ac:dyDescent="0.3">
      <c r="B118">
        <v>84</v>
      </c>
      <c r="D118">
        <v>95</v>
      </c>
    </row>
    <row r="119" spans="1:5" x14ac:dyDescent="0.3">
      <c r="B119">
        <v>85</v>
      </c>
      <c r="D119">
        <v>100</v>
      </c>
    </row>
    <row r="121" spans="1:5" x14ac:dyDescent="0.3">
      <c r="A121" t="s">
        <v>37</v>
      </c>
      <c r="B121">
        <f>(B114+B115)/2</f>
        <v>80</v>
      </c>
    </row>
    <row r="122" spans="1:5" x14ac:dyDescent="0.3">
      <c r="A122" t="s">
        <v>38</v>
      </c>
      <c r="B122">
        <f>(D114+D115)/2</f>
        <v>90.5</v>
      </c>
    </row>
    <row r="124" spans="1:5" x14ac:dyDescent="0.3">
      <c r="B124" t="s">
        <v>49</v>
      </c>
      <c r="C124">
        <f>(D119-C77)/B107</f>
        <v>2.0862395277632659</v>
      </c>
    </row>
    <row r="126" spans="1:5" x14ac:dyDescent="0.3">
      <c r="A126" t="s">
        <v>50</v>
      </c>
      <c r="B126">
        <f>B107/SQRT(20)</f>
        <v>1.5809307718123391</v>
      </c>
    </row>
    <row r="128" spans="1:5" x14ac:dyDescent="0.3">
      <c r="A128" t="s">
        <v>51</v>
      </c>
      <c r="D128" t="s">
        <v>52</v>
      </c>
      <c r="E128" s="3">
        <v>0.95</v>
      </c>
    </row>
    <row r="130" spans="1:8" x14ac:dyDescent="0.3">
      <c r="A130" t="s">
        <v>53</v>
      </c>
      <c r="B130" t="s">
        <v>54</v>
      </c>
    </row>
    <row r="131" spans="1:8" x14ac:dyDescent="0.3">
      <c r="A131" t="s">
        <v>10</v>
      </c>
      <c r="B131">
        <v>20</v>
      </c>
    </row>
    <row r="132" spans="1:8" x14ac:dyDescent="0.3">
      <c r="A132" t="s">
        <v>55</v>
      </c>
      <c r="B132">
        <v>9</v>
      </c>
      <c r="G132" t="s">
        <v>59</v>
      </c>
      <c r="H132" t="s">
        <v>60</v>
      </c>
    </row>
    <row r="133" spans="1:8" x14ac:dyDescent="0.3">
      <c r="A133" s="3">
        <v>0.95</v>
      </c>
      <c r="D133" t="s">
        <v>57</v>
      </c>
      <c r="F133" t="s">
        <v>61</v>
      </c>
      <c r="G133">
        <f>H19+(D137*D134)</f>
        <v>86.915167460437232</v>
      </c>
      <c r="H133">
        <f>H19-(D137*D134)</f>
        <v>78.084832539562768</v>
      </c>
    </row>
    <row r="134" spans="1:8" x14ac:dyDescent="0.3">
      <c r="D134">
        <f>B47/SQRT(10)</f>
        <v>2.0013884069704098</v>
      </c>
    </row>
    <row r="135" spans="1:8" x14ac:dyDescent="0.3">
      <c r="F135" t="s">
        <v>62</v>
      </c>
      <c r="G135">
        <f>I24+(D137*D134)</f>
        <v>92.415167460437232</v>
      </c>
      <c r="H135">
        <f>I24-(D137*D134)</f>
        <v>83.584832539562768</v>
      </c>
    </row>
    <row r="136" spans="1:8" x14ac:dyDescent="0.3">
      <c r="A136" t="s">
        <v>56</v>
      </c>
      <c r="B136">
        <f>_xlfn.T.INV(0.025,9)</f>
        <v>-2.2621571627982053</v>
      </c>
      <c r="D136" t="s">
        <v>58</v>
      </c>
    </row>
    <row r="137" spans="1:8" x14ac:dyDescent="0.3">
      <c r="D137">
        <f>H47/SQRT(10)</f>
        <v>2.2060522810365728</v>
      </c>
    </row>
    <row r="140" spans="1:8" x14ac:dyDescent="0.3">
      <c r="A140" t="s">
        <v>63</v>
      </c>
    </row>
    <row r="142" spans="1:8" x14ac:dyDescent="0.3">
      <c r="A142" t="s">
        <v>64</v>
      </c>
      <c r="B142" t="s">
        <v>66</v>
      </c>
    </row>
    <row r="143" spans="1:8" x14ac:dyDescent="0.3">
      <c r="A143" t="s">
        <v>65</v>
      </c>
      <c r="B143" t="s">
        <v>67</v>
      </c>
    </row>
    <row r="145" spans="1:4" x14ac:dyDescent="0.3">
      <c r="A145" t="s">
        <v>68</v>
      </c>
      <c r="D145">
        <f>SQRT((B46/10)+(H46/10))</f>
        <v>2.9786275736020142</v>
      </c>
    </row>
    <row r="147" spans="1:4" x14ac:dyDescent="0.3">
      <c r="A147" t="s">
        <v>69</v>
      </c>
      <c r="B147">
        <f>(H19-I24)/D145</f>
        <v>-1.8464879761214739</v>
      </c>
    </row>
    <row r="149" spans="1:4" x14ac:dyDescent="0.3">
      <c r="A149" t="s">
        <v>70</v>
      </c>
      <c r="C149">
        <f>(C151+D151)^2/((C151^2)/9+(D151^2)/9)</f>
        <v>17.832021329736943</v>
      </c>
    </row>
    <row r="151" spans="1:4" x14ac:dyDescent="0.3">
      <c r="C151">
        <f>B46/10</f>
        <v>4.0055555555555555</v>
      </c>
      <c r="D151">
        <f>H46/10</f>
        <v>4.8666666666666663</v>
      </c>
    </row>
    <row r="153" spans="1:4" x14ac:dyDescent="0.3">
      <c r="A153" t="s">
        <v>71</v>
      </c>
      <c r="B153" t="s">
        <v>74</v>
      </c>
    </row>
    <row r="154" spans="1:4" x14ac:dyDescent="0.3">
      <c r="A154" t="s">
        <v>72</v>
      </c>
      <c r="B154">
        <v>0.08</v>
      </c>
    </row>
    <row r="156" spans="1:4" x14ac:dyDescent="0.3">
      <c r="A156" t="s">
        <v>73</v>
      </c>
      <c r="B156">
        <v>0.05</v>
      </c>
    </row>
  </sheetData>
  <sortState xmlns:xlrd2="http://schemas.microsoft.com/office/spreadsheetml/2017/richdata2" ref="B54:B73">
    <sortCondition ref="B54:B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762</dc:creator>
  <cp:lastModifiedBy>cristian 762</cp:lastModifiedBy>
  <dcterms:created xsi:type="dcterms:W3CDTF">2026-08-18T02:07:33Z</dcterms:created>
  <dcterms:modified xsi:type="dcterms:W3CDTF">2026-08-19T02:56:21Z</dcterms:modified>
</cp:coreProperties>
</file>